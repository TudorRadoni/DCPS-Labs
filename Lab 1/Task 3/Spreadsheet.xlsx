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9D530BB2-090D-45D9-86D3-9C868ABDD0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7" i="1"/>
  <c r="C9" i="1"/>
  <c r="C10" i="1"/>
  <c r="C11" i="1"/>
  <c r="C12" i="1"/>
  <c r="C13" i="1"/>
  <c r="C14" i="1"/>
  <c r="C15" i="1"/>
  <c r="C16" i="1"/>
  <c r="C17" i="1"/>
  <c r="C18" i="1"/>
  <c r="C19" i="1"/>
  <c r="C8" i="1"/>
  <c r="C7" i="1"/>
</calcChain>
</file>

<file path=xl/sharedStrings.xml><?xml version="1.0" encoding="utf-8"?>
<sst xmlns="http://schemas.openxmlformats.org/spreadsheetml/2006/main" count="8" uniqueCount="8">
  <si>
    <t>Lab 1 - Task 3</t>
  </si>
  <si>
    <t>Time</t>
  </si>
  <si>
    <r>
      <rPr>
        <b/>
        <sz val="11"/>
        <color rgb="FF000000"/>
        <rFont val="Calibri"/>
        <scheme val="minor"/>
      </rPr>
      <t>Scenario 1:</t>
    </r>
    <r>
      <rPr>
        <sz val="11"/>
        <color rgb="FF000000"/>
        <rFont val="Calibri"/>
        <scheme val="minor"/>
      </rPr>
      <t xml:space="preserve"> 1 op</t>
    </r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</si>
  <si>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Scenario 2: </t>
    </r>
    <r>
      <rPr>
        <sz val="11"/>
        <color rgb="FF000000"/>
        <rFont val="Calibri"/>
        <scheme val="minor"/>
      </rPr>
      <t>1 op + 1 bak</t>
    </r>
  </si>
  <si>
    <r>
      <rPr>
        <b/>
        <sz val="11"/>
        <color rgb="FF000000"/>
        <rFont val="Calibri"/>
        <scheme val="minor"/>
      </rPr>
      <t>Scenario 3:</t>
    </r>
    <r>
      <rPr>
        <sz val="11"/>
        <color rgb="FF000000"/>
        <rFont val="Calibri"/>
        <scheme val="minor"/>
      </rPr>
      <t xml:space="preserve"> 1 op + 2 bak</t>
    </r>
  </si>
  <si>
    <r>
      <rPr>
        <b/>
        <sz val="11"/>
        <color rgb="FF000000"/>
        <rFont val="Calibri"/>
        <scheme val="minor"/>
      </rPr>
      <t>Scenario 4:</t>
    </r>
    <r>
      <rPr>
        <sz val="11"/>
        <color rgb="FF000000"/>
        <rFont val="Calibri"/>
        <scheme val="minor"/>
      </rPr>
      <t xml:space="preserve"> 1 op + 3 bak</t>
    </r>
  </si>
  <si>
    <t>Conclusion</t>
  </si>
  <si>
    <t>Adding backups always increases reliability
Each extra backup helps less than the previous one
Parallel redundancy is great for long missions
But it has diminishing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</si>
</sst>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{"Scenario 1 - 1 server"}</c:f>
              <c:strCache>
                <c:ptCount val="1"/>
                <c:pt idx="0">
                  <c:v>Scenario 1 - 1 server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General</c:formatCode>
                <c:ptCount val="13"/>
                <c:pt idx="0">
                  <c:v>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  <c:pt idx="5">
                  <c:v>12500</c:v>
                </c:pt>
                <c:pt idx="6">
                  <c:v>15000</c:v>
                </c:pt>
                <c:pt idx="7">
                  <c:v>17500</c:v>
                </c:pt>
                <c:pt idx="8">
                  <c:v>20000</c:v>
                </c:pt>
                <c:pt idx="9">
                  <c:v>22500</c:v>
                </c:pt>
                <c:pt idx="10">
                  <c:v>25000</c:v>
                </c:pt>
                <c:pt idx="11">
                  <c:v>27500</c:v>
                </c:pt>
                <c:pt idx="12">
                  <c:v>30000</c:v>
                </c:pt>
              </c:numCache>
            </c:numRef>
          </c:cat>
          <c:val>
            <c:numRef>
              <c:f>Sheet1!$C$7:$C$19</c:f>
              <c:numCache>
                <c:formatCode>General</c:formatCode>
                <c:ptCount val="13"/>
                <c:pt idx="0">
                  <c:v>1</c:v>
                </c:pt>
                <c:pt idx="1">
                  <c:v>0.77880078307140488</c:v>
                </c:pt>
                <c:pt idx="2">
                  <c:v>0.60653065971263342</c:v>
                </c:pt>
                <c:pt idx="3">
                  <c:v>0.47236655274101469</c:v>
                </c:pt>
                <c:pt idx="4">
                  <c:v>0.36787944117144233</c:v>
                </c:pt>
                <c:pt idx="5">
                  <c:v>0.28650479686019009</c:v>
                </c:pt>
                <c:pt idx="6">
                  <c:v>0.22313016014842982</c:v>
                </c:pt>
                <c:pt idx="7">
                  <c:v>0.17377394345044514</c:v>
                </c:pt>
                <c:pt idx="8">
                  <c:v>0.1353352832366127</c:v>
                </c:pt>
                <c:pt idx="9">
                  <c:v>0.10539922456186433</c:v>
                </c:pt>
                <c:pt idx="10">
                  <c:v>8.20849986238988E-2</c:v>
                </c:pt>
                <c:pt idx="11">
                  <c:v>6.392786120670757E-2</c:v>
                </c:pt>
                <c:pt idx="12">
                  <c:v>4.9787068367863944E-2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2D-4FC7-A546-643610944D02}"/>
            </c:ext>
          </c:extLst>
        </c:ser>
        <c:ser>
          <c:idx val="2"/>
          <c:order val="1"/>
          <c:tx>
            <c:strRef>
              <c:f>{"Scenario 2 - 1+1 servers"}</c:f>
              <c:strCache>
                <c:ptCount val="1"/>
                <c:pt idx="0">
                  <c:v>Scenario 2 - 1+1 servers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General</c:formatCode>
                <c:ptCount val="13"/>
                <c:pt idx="0">
                  <c:v>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  <c:pt idx="5">
                  <c:v>12500</c:v>
                </c:pt>
                <c:pt idx="6">
                  <c:v>15000</c:v>
                </c:pt>
                <c:pt idx="7">
                  <c:v>17500</c:v>
                </c:pt>
                <c:pt idx="8">
                  <c:v>20000</c:v>
                </c:pt>
                <c:pt idx="9">
                  <c:v>22500</c:v>
                </c:pt>
                <c:pt idx="10">
                  <c:v>25000</c:v>
                </c:pt>
                <c:pt idx="11">
                  <c:v>27500</c:v>
                </c:pt>
                <c:pt idx="12">
                  <c:v>30000</c:v>
                </c:pt>
              </c:numCache>
            </c:numRef>
          </c:cat>
          <c:val>
            <c:numRef>
              <c:f>Sheet1!$D$7:$D$19</c:f>
              <c:numCache>
                <c:formatCode>General</c:formatCode>
                <c:ptCount val="13"/>
                <c:pt idx="0">
                  <c:v>1</c:v>
                </c:pt>
                <c:pt idx="1">
                  <c:v>0.90221200482481045</c:v>
                </c:pt>
                <c:pt idx="2">
                  <c:v>0.72160294529621405</c:v>
                </c:pt>
                <c:pt idx="3">
                  <c:v>0.54390571010550315</c:v>
                </c:pt>
                <c:pt idx="4">
                  <c:v>0.39647325187699289</c:v>
                </c:pt>
                <c:pt idx="5">
                  <c:v>0.28319218778515887</c:v>
                </c:pt>
                <c:pt idx="6">
                  <c:v>0.19968945254305581</c:v>
                </c:pt>
                <c:pt idx="7">
                  <c:v>0.13963199563404571</c:v>
                </c:pt>
                <c:pt idx="8">
                  <c:v>9.7095384530676454E-2</c:v>
                </c:pt>
                <c:pt idx="9">
                  <c:v>6.7265356980234059E-2</c:v>
                </c:pt>
                <c:pt idx="10">
                  <c:v>4.6482407324646813E-2</c:v>
                </c:pt>
                <c:pt idx="11">
                  <c:v>3.2065730605910781E-2</c:v>
                </c:pt>
                <c:pt idx="12">
                  <c:v>2.2094583262510903E-2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2D-4FC7-A546-643610944D02}"/>
            </c:ext>
          </c:extLst>
        </c:ser>
        <c:ser>
          <c:idx val="3"/>
          <c:order val="2"/>
          <c:tx>
            <c:strRef>
              <c:f>{"Scenario 3 - 1+2 servers"}</c:f>
              <c:strCache>
                <c:ptCount val="1"/>
                <c:pt idx="0">
                  <c:v>Scenario 3 - 1+2 servers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General</c:formatCode>
                <c:ptCount val="13"/>
                <c:pt idx="0">
                  <c:v>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  <c:pt idx="5">
                  <c:v>12500</c:v>
                </c:pt>
                <c:pt idx="6">
                  <c:v>15000</c:v>
                </c:pt>
                <c:pt idx="7">
                  <c:v>17500</c:v>
                </c:pt>
                <c:pt idx="8">
                  <c:v>20000</c:v>
                </c:pt>
                <c:pt idx="9">
                  <c:v>22500</c:v>
                </c:pt>
                <c:pt idx="10">
                  <c:v>25000</c:v>
                </c:pt>
                <c:pt idx="11">
                  <c:v>27500</c:v>
                </c:pt>
                <c:pt idx="12">
                  <c:v>30000</c:v>
                </c:pt>
              </c:numCache>
            </c:numRef>
          </c:cat>
          <c:val>
            <c:numRef>
              <c:f>Sheet1!$E$7:$E$19</c:f>
              <c:numCache>
                <c:formatCode>General</c:formatCode>
                <c:ptCount val="13"/>
                <c:pt idx="0">
                  <c:v>1</c:v>
                </c:pt>
                <c:pt idx="1">
                  <c:v>0.95030061931720067</c:v>
                </c:pt>
                <c:pt idx="2">
                  <c:v>0.78383758596256292</c:v>
                </c:pt>
                <c:pt idx="3">
                  <c:v>0.58289869832405938</c:v>
                </c:pt>
                <c:pt idx="4">
                  <c:v>0.40704140999595984</c:v>
                </c:pt>
                <c:pt idx="5">
                  <c:v>0.27366446189270333</c:v>
                </c:pt>
                <c:pt idx="6">
                  <c:v>0.17978452781581933</c:v>
                </c:pt>
                <c:pt idx="7">
                  <c:v>0.11643556515949982</c:v>
                </c:pt>
                <c:pt idx="8">
                  <c:v>7.4741125354011784E-2</c:v>
                </c:pt>
                <c:pt idx="9">
                  <c:v>4.7710930924508843E-2</c:v>
                </c:pt>
                <c:pt idx="10">
                  <c:v>3.0349985910186117E-2</c:v>
                </c:pt>
                <c:pt idx="11">
                  <c:v>1.9263863265042369E-2</c:v>
                </c:pt>
                <c:pt idx="12">
                  <c:v>1.2210277462367247E-2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2D-4FC7-A546-643610944D02}"/>
            </c:ext>
          </c:extLst>
        </c:ser>
        <c:ser>
          <c:idx val="4"/>
          <c:order val="3"/>
          <c:tx>
            <c:strRef>
              <c:f>{"Scenario 4 - 1+3 servers"}</c:f>
              <c:strCache>
                <c:ptCount val="1"/>
                <c:pt idx="0">
                  <c:v>Scenario 4 - 1+3 servers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numRef>
              <c:f>Sheet1!$B$7:$B$19</c:f>
              <c:numCache>
                <c:formatCode>General</c:formatCode>
                <c:ptCount val="13"/>
                <c:pt idx="0">
                  <c:v>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  <c:pt idx="5">
                  <c:v>12500</c:v>
                </c:pt>
                <c:pt idx="6">
                  <c:v>15000</c:v>
                </c:pt>
                <c:pt idx="7">
                  <c:v>17500</c:v>
                </c:pt>
                <c:pt idx="8">
                  <c:v>20000</c:v>
                </c:pt>
                <c:pt idx="9">
                  <c:v>22500</c:v>
                </c:pt>
                <c:pt idx="10">
                  <c:v>25000</c:v>
                </c:pt>
                <c:pt idx="11">
                  <c:v>27500</c:v>
                </c:pt>
                <c:pt idx="12">
                  <c:v>30000</c:v>
                </c:pt>
              </c:numCache>
            </c:numRef>
          </c:cat>
          <c:val>
            <c:numRef>
              <c:f>Sheet1!$F$7:$F$19</c:f>
              <c:numCache>
                <c:formatCode>General</c:formatCode>
                <c:ptCount val="13"/>
                <c:pt idx="0">
                  <c:v>1</c:v>
                </c:pt>
                <c:pt idx="1">
                  <c:v>0.97283587062171517</c:v>
                </c:pt>
                <c:pt idx="2">
                  <c:v>0.82462137806527802</c:v>
                </c:pt>
                <c:pt idx="3">
                  <c:v>0.60973221914359166</c:v>
                </c:pt>
                <c:pt idx="4">
                  <c:v>0.4125162112509273</c:v>
                </c:pt>
                <c:pt idx="5">
                  <c:v>0.26462294204967929</c:v>
                </c:pt>
                <c:pt idx="6">
                  <c:v>0.16450055596407731</c:v>
                </c:pt>
                <c:pt idx="7">
                  <c:v>0.10038210504976619</c:v>
                </c:pt>
                <c:pt idx="8">
                  <c:v>6.0588046372723303E-2</c:v>
                </c:pt>
                <c:pt idx="9">
                  <c:v>3.6332934406024253E-2</c:v>
                </c:pt>
                <c:pt idx="10">
                  <c:v>2.1704213453208721E-2</c:v>
                </c:pt>
                <c:pt idx="11">
                  <c:v>1.2935907623540022E-2</c:v>
                </c:pt>
                <c:pt idx="12">
                  <c:v>7.6994853885226089E-3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2D-4FC7-A546-643610944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703560"/>
        <c:axId val="1703705608"/>
      </c:lineChart>
      <c:catAx>
        <c:axId val="170370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05608"/>
        <c:crosses val="autoZero"/>
        <c:auto val="1"/>
        <c:lblAlgn val="ctr"/>
        <c:lblOffset val="100"/>
        <c:noMultiLvlLbl val="0"/>
      </c:catAx>
      <c:valAx>
        <c:axId val="1703705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0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171450</xdr:rowOff>
    </xdr:from>
    <xdr:to>
      <xdr:col>6</xdr:col>
      <xdr:colOff>0</xdr:colOff>
      <xdr:row>40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DDD1F-144C-EEFF-8957-8BF81EEB1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8"/>
  <sheetViews>
    <sheetView tabSelected="1" topLeftCell="A21" workbookViewId="0">
      <selection activeCell="B43" sqref="B43:F43"/>
    </sheetView>
  </sheetViews>
  <sheetFormatPr defaultRowHeight="15"/>
  <cols>
    <col min="1" max="1" width="11.85546875" customWidth="1"/>
    <col min="2" max="2" width="9.5703125" customWidth="1"/>
    <col min="3" max="3" width="22.5703125" customWidth="1"/>
    <col min="4" max="4" width="26.140625" customWidth="1"/>
    <col min="5" max="5" width="25.5703125" customWidth="1"/>
    <col min="6" max="6" width="26" customWidth="1"/>
  </cols>
  <sheetData>
    <row r="2" spans="2:6" ht="15.75" customHeight="1"/>
    <row r="3" spans="2:6">
      <c r="B3" s="1" t="s">
        <v>0</v>
      </c>
      <c r="C3" s="1"/>
      <c r="D3" s="1"/>
      <c r="E3" s="1"/>
      <c r="F3" s="1"/>
    </row>
    <row r="4" spans="2:6">
      <c r="B4" s="1"/>
      <c r="C4" s="1"/>
      <c r="D4" s="1"/>
      <c r="E4" s="1"/>
      <c r="F4" s="1"/>
    </row>
    <row r="6" spans="2:6">
      <c r="B6" s="2" t="s">
        <v>1</v>
      </c>
      <c r="C6" s="3" t="s">
        <v>2</v>
      </c>
      <c r="D6" s="3" t="s">
        <v>3</v>
      </c>
      <c r="E6" s="3" t="s">
        <v>4</v>
      </c>
      <c r="F6" s="4" t="s">
        <v>5</v>
      </c>
    </row>
    <row r="7" spans="2:6">
      <c r="B7" s="5">
        <v>0</v>
      </c>
      <c r="C7" s="6">
        <f>EXP(-B7/10000)</f>
        <v>1</v>
      </c>
      <c r="D7" s="6">
        <f>1-(1-EXP(-B7/6666.666666))^2</f>
        <v>1</v>
      </c>
      <c r="E7" s="6">
        <f>1-(1-EXP(-B7/5454.545454))^3</f>
        <v>1</v>
      </c>
      <c r="F7" s="7">
        <f>1-(1-EXP(-B7/4800))^4</f>
        <v>1</v>
      </c>
    </row>
    <row r="8" spans="2:6">
      <c r="B8" s="5">
        <v>2500</v>
      </c>
      <c r="C8" s="6">
        <f t="shared" ref="C8:C19" si="0">EXP(-B8/10000)</f>
        <v>0.77880078307140488</v>
      </c>
      <c r="D8" s="6">
        <f t="shared" ref="D8:D19" si="1">1-(1-EXP(-B8/6666.666666))^2</f>
        <v>0.90221200482481045</v>
      </c>
      <c r="E8" s="6">
        <f t="shared" ref="E8:E19" si="2">1-(1-EXP(-B8/5454.545454))^3</f>
        <v>0.95030061931720067</v>
      </c>
      <c r="F8" s="7">
        <f t="shared" ref="F8:F19" si="3">1-(1-EXP(-B8/4800))^4</f>
        <v>0.97283587062171517</v>
      </c>
    </row>
    <row r="9" spans="2:6">
      <c r="B9" s="5">
        <v>5000</v>
      </c>
      <c r="C9" s="6">
        <f t="shared" si="0"/>
        <v>0.60653065971263342</v>
      </c>
      <c r="D9" s="6">
        <f t="shared" si="1"/>
        <v>0.72160294529621405</v>
      </c>
      <c r="E9" s="6">
        <f t="shared" si="2"/>
        <v>0.78383758596256292</v>
      </c>
      <c r="F9" s="7">
        <f t="shared" si="3"/>
        <v>0.82462137806527802</v>
      </c>
    </row>
    <row r="10" spans="2:6">
      <c r="B10" s="5">
        <v>7500</v>
      </c>
      <c r="C10" s="6">
        <f t="shared" si="0"/>
        <v>0.47236655274101469</v>
      </c>
      <c r="D10" s="6">
        <f t="shared" si="1"/>
        <v>0.54390571010550315</v>
      </c>
      <c r="E10" s="6">
        <f t="shared" si="2"/>
        <v>0.58289869832405938</v>
      </c>
      <c r="F10" s="7">
        <f t="shared" si="3"/>
        <v>0.60973221914359166</v>
      </c>
    </row>
    <row r="11" spans="2:6">
      <c r="B11" s="5">
        <v>10000</v>
      </c>
      <c r="C11" s="6">
        <f t="shared" si="0"/>
        <v>0.36787944117144233</v>
      </c>
      <c r="D11" s="6">
        <f t="shared" si="1"/>
        <v>0.39647325187699289</v>
      </c>
      <c r="E11" s="6">
        <f t="shared" si="2"/>
        <v>0.40704140999595984</v>
      </c>
      <c r="F11" s="7">
        <f t="shared" si="3"/>
        <v>0.4125162112509273</v>
      </c>
    </row>
    <row r="12" spans="2:6">
      <c r="B12" s="5">
        <v>12500</v>
      </c>
      <c r="C12" s="6">
        <f t="shared" si="0"/>
        <v>0.28650479686019009</v>
      </c>
      <c r="D12" s="6">
        <f t="shared" si="1"/>
        <v>0.28319218778515887</v>
      </c>
      <c r="E12" s="6">
        <f t="shared" si="2"/>
        <v>0.27366446189270333</v>
      </c>
      <c r="F12" s="7">
        <f t="shared" si="3"/>
        <v>0.26462294204967929</v>
      </c>
    </row>
    <row r="13" spans="2:6">
      <c r="B13" s="5">
        <v>15000</v>
      </c>
      <c r="C13" s="6">
        <f t="shared" si="0"/>
        <v>0.22313016014842982</v>
      </c>
      <c r="D13" s="6">
        <f t="shared" si="1"/>
        <v>0.19968945254305581</v>
      </c>
      <c r="E13" s="6">
        <f t="shared" si="2"/>
        <v>0.17978452781581933</v>
      </c>
      <c r="F13" s="7">
        <f t="shared" si="3"/>
        <v>0.16450055596407731</v>
      </c>
    </row>
    <row r="14" spans="2:6">
      <c r="B14" s="5">
        <v>17500</v>
      </c>
      <c r="C14" s="6">
        <f t="shared" si="0"/>
        <v>0.17377394345044514</v>
      </c>
      <c r="D14" s="6">
        <f t="shared" si="1"/>
        <v>0.13963199563404571</v>
      </c>
      <c r="E14" s="6">
        <f t="shared" si="2"/>
        <v>0.11643556515949982</v>
      </c>
      <c r="F14" s="7">
        <f t="shared" si="3"/>
        <v>0.10038210504976619</v>
      </c>
    </row>
    <row r="15" spans="2:6">
      <c r="B15" s="5">
        <v>20000</v>
      </c>
      <c r="C15" s="6">
        <f t="shared" si="0"/>
        <v>0.1353352832366127</v>
      </c>
      <c r="D15" s="6">
        <f t="shared" si="1"/>
        <v>9.7095384530676454E-2</v>
      </c>
      <c r="E15" s="6">
        <f t="shared" si="2"/>
        <v>7.4741125354011784E-2</v>
      </c>
      <c r="F15" s="7">
        <f t="shared" si="3"/>
        <v>6.0588046372723303E-2</v>
      </c>
    </row>
    <row r="16" spans="2:6">
      <c r="B16" s="5">
        <v>22500</v>
      </c>
      <c r="C16" s="6">
        <f t="shared" si="0"/>
        <v>0.10539922456186433</v>
      </c>
      <c r="D16" s="6">
        <f t="shared" si="1"/>
        <v>6.7265356980234059E-2</v>
      </c>
      <c r="E16" s="6">
        <f t="shared" si="2"/>
        <v>4.7710930924508843E-2</v>
      </c>
      <c r="F16" s="7">
        <f t="shared" si="3"/>
        <v>3.6332934406024253E-2</v>
      </c>
    </row>
    <row r="17" spans="2:6">
      <c r="B17" s="5">
        <v>25000</v>
      </c>
      <c r="C17" s="6">
        <f t="shared" si="0"/>
        <v>8.20849986238988E-2</v>
      </c>
      <c r="D17" s="6">
        <f t="shared" si="1"/>
        <v>4.6482407324646813E-2</v>
      </c>
      <c r="E17" s="6">
        <f t="shared" si="2"/>
        <v>3.0349985910186117E-2</v>
      </c>
      <c r="F17" s="7">
        <f t="shared" si="3"/>
        <v>2.1704213453208721E-2</v>
      </c>
    </row>
    <row r="18" spans="2:6">
      <c r="B18" s="5">
        <v>27500</v>
      </c>
      <c r="C18" s="6">
        <f t="shared" si="0"/>
        <v>6.392786120670757E-2</v>
      </c>
      <c r="D18" s="6">
        <f t="shared" si="1"/>
        <v>3.2065730605910781E-2</v>
      </c>
      <c r="E18" s="6">
        <f t="shared" si="2"/>
        <v>1.9263863265042369E-2</v>
      </c>
      <c r="F18" s="7">
        <f t="shared" si="3"/>
        <v>1.2935907623540022E-2</v>
      </c>
    </row>
    <row r="19" spans="2:6">
      <c r="B19" s="8">
        <v>30000</v>
      </c>
      <c r="C19" s="9">
        <f t="shared" si="0"/>
        <v>4.9787068367863944E-2</v>
      </c>
      <c r="D19" s="9">
        <f t="shared" si="1"/>
        <v>2.2094583262510903E-2</v>
      </c>
      <c r="E19" s="9">
        <f t="shared" si="2"/>
        <v>1.2210277462367247E-2</v>
      </c>
      <c r="F19" s="10">
        <f t="shared" si="3"/>
        <v>7.6994853885226089E-3</v>
      </c>
    </row>
    <row r="43" spans="2:6" ht="15.75">
      <c r="B43" s="13" t="s">
        <v>6</v>
      </c>
      <c r="C43" s="13"/>
      <c r="D43" s="13"/>
      <c r="E43" s="13"/>
      <c r="F43" s="13"/>
    </row>
    <row r="44" spans="2:6">
      <c r="B44" s="11" t="s">
        <v>7</v>
      </c>
      <c r="C44" s="12"/>
      <c r="D44" s="12"/>
      <c r="E44" s="12"/>
      <c r="F44" s="12"/>
    </row>
    <row r="45" spans="2:6">
      <c r="B45" s="12"/>
      <c r="C45" s="12"/>
      <c r="D45" s="12"/>
      <c r="E45" s="12"/>
      <c r="F45" s="12"/>
    </row>
    <row r="46" spans="2:6">
      <c r="B46" s="12"/>
      <c r="C46" s="12"/>
      <c r="D46" s="12"/>
      <c r="E46" s="12"/>
      <c r="F46" s="12"/>
    </row>
    <row r="47" spans="2:6">
      <c r="B47" s="12"/>
      <c r="C47" s="12"/>
      <c r="D47" s="12"/>
      <c r="E47" s="12"/>
      <c r="F47" s="12"/>
    </row>
    <row r="48" spans="2:6">
      <c r="B48" s="12"/>
      <c r="C48" s="12"/>
      <c r="D48" s="12"/>
      <c r="E48" s="12"/>
      <c r="F48" s="12"/>
    </row>
  </sheetData>
  <mergeCells count="3">
    <mergeCell ref="B3:F4"/>
    <mergeCell ref="B44:F48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2026-01-07T16:06:46Z</dcterms:created>
  <dcterms:modified xsi:type="dcterms:W3CDTF">2026-01-07T19:44:01Z</dcterms:modified>
  <cp:category/>
  <cp:contentStatus/>
</cp:coreProperties>
</file>